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trohealthcle-my.sharepoint.com/personal/ytarabichi_metrohealth_org/Documents/"/>
    </mc:Choice>
  </mc:AlternateContent>
  <xr:revisionPtr revIDLastSave="13" documentId="8_{79E1AB56-F8EA-4DA3-844C-3283D2CB577A}" xr6:coauthVersionLast="47" xr6:coauthVersionMax="47" xr10:uidLastSave="{25F31A26-B6F6-49D7-8F47-7F6CC1DFE951}"/>
  <bookViews>
    <workbookView xWindow="28680" yWindow="-120" windowWidth="29040" windowHeight="15720" xr2:uid="{00E4DDCA-4E0B-4645-87A7-B6A5F7EE2C1C}"/>
  </bookViews>
  <sheets>
    <sheet name="Primary Care Ind (SC)" sheetId="3" r:id="rId1"/>
    <sheet name="Primary Care (SC)" sheetId="5" r:id="rId2"/>
    <sheet name="Same Day Care (SC)" sheetId="7" r:id="rId3"/>
    <sheet name="Urgent Care SC" sheetId="11" r:id="rId4"/>
    <sheet name="SC Config Ref" sheetId="10" r:id="rId5"/>
    <sheet name="Primary Care Indiv (OH)" sheetId="4" state="hidden" r:id="rId6"/>
    <sheet name="Primary Care (OH)" sheetId="6" state="hidden" r:id="rId7"/>
    <sheet name="Same Day Care (OH)" sheetId="9" state="hidden" r:id="rId8"/>
    <sheet name="Urgent Care (OH)" sheetId="12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G15" i="3"/>
  <c r="G14" i="3"/>
  <c r="G17" i="4"/>
  <c r="E7" i="9"/>
  <c r="E7" i="7"/>
  <c r="G9" i="3"/>
  <c r="G8" i="3"/>
  <c r="G8" i="6"/>
  <c r="E8" i="5"/>
  <c r="G15" i="4"/>
  <c r="G16" i="4"/>
  <c r="G14" i="4"/>
  <c r="G9" i="4"/>
  <c r="G13" i="4"/>
  <c r="G12" i="4"/>
  <c r="G11" i="4"/>
  <c r="G10" i="4"/>
  <c r="G8" i="4"/>
  <c r="G10" i="3"/>
  <c r="G11" i="3"/>
  <c r="G12" i="3"/>
  <c r="G13" i="3"/>
</calcChain>
</file>

<file path=xl/sharedStrings.xml><?xml version="1.0" encoding="utf-8"?>
<sst xmlns="http://schemas.openxmlformats.org/spreadsheetml/2006/main" count="155" uniqueCount="50">
  <si>
    <t>Adkison</t>
  </si>
  <si>
    <t>Primary Care,Family Medicine,Telehealth</t>
  </si>
  <si>
    <t>Schedule Virtual Primary Visit Now</t>
  </si>
  <si>
    <t>Channdara</t>
  </si>
  <si>
    <t>Aslan</t>
  </si>
  <si>
    <t>Lindsey</t>
  </si>
  <si>
    <t>Moore</t>
  </si>
  <si>
    <t>Likhitha</t>
  </si>
  <si>
    <t>Musunuru</t>
  </si>
  <si>
    <t>Yahaida</t>
  </si>
  <si>
    <t>Rimola-Dejesus</t>
  </si>
  <si>
    <t>Stephanie</t>
  </si>
  <si>
    <t>Stetler</t>
  </si>
  <si>
    <t>Regney</t>
  </si>
  <si>
    <t>Zakaib</t>
  </si>
  <si>
    <t>https://mychart.ovatient.com/ovatient/openscheduling/standalone</t>
  </si>
  <si>
    <t>?vt=3862&amp;dept=3652</t>
  </si>
  <si>
    <t>&amp;location=233&amp;sublocation=40</t>
  </si>
  <si>
    <t>https://mychart.ovatient.com/ovatient/openscheduling/standalone?id=</t>
  </si>
  <si>
    <t>Link header</t>
  </si>
  <si>
    <t>Location</t>
  </si>
  <si>
    <t>Post-ID</t>
  </si>
  <si>
    <t>Payor list</t>
  </si>
  <si>
    <t>Provider ID</t>
  </si>
  <si>
    <t>Constructed Link</t>
  </si>
  <si>
    <t>Elizabeth</t>
  </si>
  <si>
    <t>&amp;vt=4028&amp;public=1</t>
  </si>
  <si>
    <t>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</t>
  </si>
  <si>
    <t>&amp;vt=3747&amp;public=1</t>
  </si>
  <si>
    <t>Esosa</t>
  </si>
  <si>
    <t>Imasuen</t>
  </si>
  <si>
    <t>Maria</t>
  </si>
  <si>
    <t>Echavez-Arroyo</t>
  </si>
  <si>
    <t>Nazish</t>
  </si>
  <si>
    <t>?vt=4028&amp;dept=3653</t>
  </si>
  <si>
    <t>?vt=3747&amp;dept=3653</t>
  </si>
  <si>
    <t>Comments</t>
  </si>
  <si>
    <t>Briana</t>
  </si>
  <si>
    <t>Primary Care (Individual) Post-ID</t>
  </si>
  <si>
    <t>Link header w/ ID</t>
  </si>
  <si>
    <t>Primary Care (Gen)</t>
  </si>
  <si>
    <t>Same Day</t>
  </si>
  <si>
    <t>https://mychart.musc.edu/mychart/Authentication/Login?postloginurl=TelemedicineHome%2fOnDemandVideoVisits</t>
  </si>
  <si>
    <t>https://mychart.ovatient.com/Ovatient/app/on-demand-video-visits</t>
  </si>
  <si>
    <r>
      <t xml:space="preserve">This link is for </t>
    </r>
    <r>
      <rPr>
        <b/>
        <sz val="11"/>
        <color rgb="FFFF0000"/>
        <rFont val="Aptos Narrow"/>
        <family val="2"/>
        <scheme val="minor"/>
      </rPr>
      <t>generic</t>
    </r>
    <r>
      <rPr>
        <sz val="11"/>
        <color theme="1"/>
        <rFont val="Aptos Narrow"/>
        <family val="2"/>
        <scheme val="minor"/>
      </rPr>
      <t xml:space="preserve"> primary care access rather than the provider-specific links. A decision tree limits which providers will show.</t>
    </r>
  </si>
  <si>
    <t>This link is for on-demand care through the Ovatient MyChart site.</t>
  </si>
  <si>
    <t>This link is for on-demand care throught MUSC MyChart.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</si>
  <si>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Providers highlighted in red are excluded from the scheduling link.</t>
    </r>
  </si>
  <si>
    <t>Updated 4/8/2026</t>
  </si>
  <si>
    <r>
      <t xml:space="preserve">This link is for </t>
    </r>
    <r>
      <rPr>
        <b/>
        <sz val="11"/>
        <color rgb="FFFF0000"/>
        <rFont val="Aptos Narrow"/>
        <family val="2"/>
        <scheme val="minor"/>
      </rPr>
      <t>generic</t>
    </r>
    <r>
      <rPr>
        <sz val="11"/>
        <color theme="1"/>
        <rFont val="Aptos Narrow"/>
        <family val="2"/>
        <scheme val="minor"/>
      </rPr>
      <t xml:space="preserve"> same day care access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</si>
</sst>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 readingOrder="1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5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4" borderId="0" xfId="1" applyFill="1"/>
    <xf numFmtId="0" fontId="0" fillId="6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ychart.ovatient.com/ovatient/openscheduling/standalon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mychart.ovatient.com/ovatient/openscheduling/standalon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ychart.ovatient.com/ovatient/openscheduling/standalon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mychart.ovatient.com/ovatient/openscheduling/standalon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ychart.ovatient.com/ovatient/openscheduling/standal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235C-5F98-45A8-ACB1-F73FA397BA6C}">
  <dimension ref="A1:G16"/>
  <sheetViews>
    <sheetView tabSelected="1" workbookViewId="0">
      <selection activeCell="F8" sqref="F8"/>
    </sheetView>
  </sheetViews>
  <sheetFormatPr defaultRowHeight="15"/>
  <cols>
    <col min="1" max="1" width="22.42578125" customWidth="1"/>
    <col min="3" max="3" width="19.140625" customWidth="1"/>
  </cols>
  <sheetData>
    <row r="1" spans="1:7">
      <c r="A1" s="4" t="s">
        <v>19</v>
      </c>
      <c r="B1" s="5" t="s">
        <v>18</v>
      </c>
    </row>
    <row r="2" spans="1:7">
      <c r="A2" s="4" t="s">
        <v>21</v>
      </c>
      <c r="B2" s="5" t="s">
        <v>26</v>
      </c>
    </row>
    <row r="3" spans="1:7">
      <c r="A3" s="4" t="s">
        <v>22</v>
      </c>
      <c r="B3" s="5" t="s">
        <v>27</v>
      </c>
    </row>
    <row r="4" spans="1:7">
      <c r="A4" s="4" t="s">
        <v>20</v>
      </c>
      <c r="B4" s="5" t="s">
        <v>17</v>
      </c>
    </row>
    <row r="7" spans="1:7">
      <c r="E7" s="3" t="s">
        <v>23</v>
      </c>
      <c r="F7" s="3"/>
      <c r="G7" s="3" t="s">
        <v>24</v>
      </c>
    </row>
    <row r="8" spans="1:7" ht="54">
      <c r="A8" s="1" t="s">
        <v>5</v>
      </c>
      <c r="B8" s="1" t="s">
        <v>6</v>
      </c>
      <c r="C8" s="1" t="s">
        <v>1</v>
      </c>
      <c r="D8" s="1" t="s">
        <v>2</v>
      </c>
      <c r="E8" s="9">
        <v>20799</v>
      </c>
      <c r="G8" s="2" t="str">
        <f>_xlfn.TEXTJOIN("",TRUE,$B$1,E8,$B$2,$B$3,$B$4)</f>
        <v>https://mychart.ovatient.com/ovatient/openscheduling/standalone?id=20799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9" spans="1:7" ht="54">
      <c r="A9" s="7" t="s">
        <v>7</v>
      </c>
      <c r="B9" s="1" t="s">
        <v>8</v>
      </c>
      <c r="C9" s="1" t="s">
        <v>1</v>
      </c>
      <c r="D9" s="1" t="s">
        <v>2</v>
      </c>
      <c r="E9" s="9">
        <v>20651</v>
      </c>
      <c r="G9" s="2" t="str">
        <f>_xlfn.TEXTJOIN("",TRUE,$B$1,E9,$B$2,$B$3,$B$4)</f>
        <v>https://mychart.ovatient.com/ovatient/openscheduling/standalone?id=20651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0" spans="1:7" ht="54">
      <c r="A10" s="7" t="s">
        <v>9</v>
      </c>
      <c r="B10" s="1" t="s">
        <v>10</v>
      </c>
      <c r="C10" s="1" t="s">
        <v>1</v>
      </c>
      <c r="D10" s="1" t="s">
        <v>2</v>
      </c>
      <c r="E10" s="9">
        <v>219557</v>
      </c>
      <c r="G10" s="2" t="str">
        <f t="shared" ref="G10:G14" si="0">_xlfn.TEXTJOIN("",TRUE,$B$1,E10,$B$2,$B$3,$B$4)</f>
        <v>https://mychart.ovatient.com/ovatient/openscheduling/standalone?id=219557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1" spans="1:7" ht="54">
      <c r="A11" s="1" t="s">
        <v>11</v>
      </c>
      <c r="B11" s="1" t="s">
        <v>12</v>
      </c>
      <c r="C11" s="1" t="s">
        <v>1</v>
      </c>
      <c r="D11" s="1" t="s">
        <v>2</v>
      </c>
      <c r="E11" s="9">
        <v>219524</v>
      </c>
      <c r="G11" s="2" t="str">
        <f t="shared" si="0"/>
        <v>https://mychart.ovatient.com/ovatient/openscheduling/standalone?id=219524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2" spans="1:7" ht="54">
      <c r="A12" s="1" t="s">
        <v>3</v>
      </c>
      <c r="B12" s="1" t="s">
        <v>4</v>
      </c>
      <c r="C12" s="1" t="s">
        <v>1</v>
      </c>
      <c r="D12" s="1" t="s">
        <v>2</v>
      </c>
      <c r="E12" s="9">
        <v>20991</v>
      </c>
      <c r="G12" s="2" t="str">
        <f t="shared" si="0"/>
        <v>https://mychart.ovatient.com/ovatient/openscheduling/standalone?id=20991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3" spans="1:7" ht="54">
      <c r="A13" s="7" t="s">
        <v>25</v>
      </c>
      <c r="B13" s="1" t="s">
        <v>0</v>
      </c>
      <c r="C13" s="1" t="s">
        <v>1</v>
      </c>
      <c r="D13" s="1" t="s">
        <v>2</v>
      </c>
      <c r="E13" s="9">
        <v>219068</v>
      </c>
      <c r="G13" s="2" t="str">
        <f t="shared" si="0"/>
        <v>https://mychart.ovatient.com/ovatient/openscheduling/standalone?id=219068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4" spans="1:7" ht="54">
      <c r="A14" s="1" t="s">
        <v>31</v>
      </c>
      <c r="B14" s="1" t="s">
        <v>32</v>
      </c>
      <c r="C14" s="1" t="s">
        <v>1</v>
      </c>
      <c r="D14" s="1" t="s">
        <v>2</v>
      </c>
      <c r="E14" s="9">
        <v>23771</v>
      </c>
      <c r="G14" s="2" t="str">
        <f t="shared" si="0"/>
        <v>https://mychart.ovatient.com/ovatient/openscheduling/standalone?id=23771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5" spans="1:7" ht="54">
      <c r="A15" s="1" t="s">
        <v>33</v>
      </c>
      <c r="B15" s="1" t="s">
        <v>14</v>
      </c>
      <c r="C15" s="1" t="s">
        <v>1</v>
      </c>
      <c r="D15" s="1" t="s">
        <v>2</v>
      </c>
      <c r="E15" s="9">
        <v>24110</v>
      </c>
      <c r="G15" s="2" t="str">
        <f>_xlfn.TEXTJOIN("",TRUE,$B$1,E15,$B$2,$B$3,$B$4)</f>
        <v>https://mychart.ovatient.com/ovatient/openscheduling/standalone?id=24110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6" spans="1:7" ht="54">
      <c r="A16" s="1" t="s">
        <v>13</v>
      </c>
      <c r="B16" s="1" t="s">
        <v>37</v>
      </c>
      <c r="C16" s="1" t="s">
        <v>1</v>
      </c>
      <c r="D16" s="1" t="s">
        <v>2</v>
      </c>
      <c r="E16" s="9">
        <v>24111</v>
      </c>
      <c r="G16" s="2" t="str">
        <f>_xlfn.TEXTJOIN("",TRUE,$B$1,E16,$B$2,$B$3,$B$4)</f>
        <v>https://mychart.ovatient.com/ovatient/openscheduling/standalone?id=24111&amp;vt=4028&amp;public=1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7F7F-20A5-451F-80F1-1780A89269C7}">
  <dimension ref="A1:F11"/>
  <sheetViews>
    <sheetView workbookViewId="0">
      <selection activeCell="H25" sqref="H25"/>
    </sheetView>
  </sheetViews>
  <sheetFormatPr defaultRowHeight="15"/>
  <cols>
    <col min="1" max="1" width="8.5703125" customWidth="1"/>
    <col min="3" max="3" width="9.28515625" customWidth="1"/>
  </cols>
  <sheetData>
    <row r="1" spans="1:6">
      <c r="A1" s="4" t="s">
        <v>19</v>
      </c>
      <c r="B1" s="8" t="s">
        <v>15</v>
      </c>
    </row>
    <row r="2" spans="1:6">
      <c r="A2" s="4" t="s">
        <v>21</v>
      </c>
      <c r="B2" s="5" t="s">
        <v>34</v>
      </c>
    </row>
    <row r="3" spans="1:6">
      <c r="A3" s="4" t="s">
        <v>22</v>
      </c>
      <c r="B3" s="5" t="s">
        <v>27</v>
      </c>
    </row>
    <row r="4" spans="1:6">
      <c r="A4" s="4" t="s">
        <v>20</v>
      </c>
      <c r="B4" s="5" t="s">
        <v>17</v>
      </c>
    </row>
    <row r="7" spans="1:6">
      <c r="E7" s="3" t="s">
        <v>24</v>
      </c>
      <c r="F7" s="3"/>
    </row>
    <row r="8" spans="1:6">
      <c r="E8" s="2" t="str">
        <f>_xlfn.TEXTJOIN("",TRUE,$B$1,$B$2,$B$3,$B$4)</f>
        <v>https://mychart.ovatient.com/ovatient/openscheduling/standalone?vt=4028&amp;dept=3653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0" spans="1:6">
      <c r="E10" s="3" t="s">
        <v>36</v>
      </c>
    </row>
    <row r="11" spans="1:6">
      <c r="E11" t="s">
        <v>44</v>
      </c>
    </row>
  </sheetData>
  <hyperlinks>
    <hyperlink ref="B1" r:id="rId1" xr:uid="{BCD12F71-D874-4E51-84DE-2C1D81ED86B6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6EAB-D9F8-4CE6-85BF-3C2C416AA2A3}">
  <dimension ref="A1:E11"/>
  <sheetViews>
    <sheetView topLeftCell="A2" zoomScaleNormal="100" workbookViewId="0">
      <selection activeCell="I22" sqref="I22"/>
    </sheetView>
  </sheetViews>
  <sheetFormatPr defaultRowHeight="15"/>
  <sheetData>
    <row r="1" spans="1:5">
      <c r="A1" s="4" t="s">
        <v>19</v>
      </c>
      <c r="B1" s="8" t="s">
        <v>15</v>
      </c>
    </row>
    <row r="2" spans="1:5">
      <c r="A2" s="4" t="s">
        <v>21</v>
      </c>
      <c r="B2" s="5" t="s">
        <v>16</v>
      </c>
    </row>
    <row r="3" spans="1:5">
      <c r="A3" s="4" t="s">
        <v>22</v>
      </c>
      <c r="B3" s="5" t="s">
        <v>27</v>
      </c>
    </row>
    <row r="4" spans="1:5">
      <c r="A4" s="4" t="s">
        <v>20</v>
      </c>
      <c r="B4" s="5" t="s">
        <v>17</v>
      </c>
    </row>
    <row r="6" spans="1:5">
      <c r="E6" s="3" t="s">
        <v>24</v>
      </c>
    </row>
    <row r="7" spans="1:5">
      <c r="E7" s="2" t="str">
        <f>_xlfn.TEXTJOIN("",TRUE,$B$1,$B$2,$B$3,$B$4)</f>
        <v>https://mychart.ovatient.com/ovatient/openscheduling/standalone?vt=3862&amp;dept=3652&amp;payor=30900,10500,12500,20400,12300,30100,80100,13400,86300,38000,30400,80700,11700,11900,36800,80800,31500,72200,70200,70600,71500,70300,70100,70700,72100,71600,86900,81400,31800,50600,14000,30300,80300,15100,13600,30500,81100,10400,37500,80500,14800,39110,86800,86700,12400,39100,33800,39700,34000,85100,20500,20300,33500,80400,10700,37600,83200,37000,81200,81900,39900,83400,20100,22400,22000,21800,10100,10300,11800,39800,12600,86400,34800,14700,83500,32400,84900,11500,83600,35300,15000,10600,11300,70500,21400,31200,50100,51000,50200,50300,50500,50400,84500,36700,84200,30700,84600,36400,30200,12100,80200,81700,36500,13700,21700,30800,82200&amp;location=233&amp;sublocation=40</v>
      </c>
    </row>
    <row r="10" spans="1:5">
      <c r="E10" s="3" t="s">
        <v>36</v>
      </c>
    </row>
    <row r="11" spans="1:5">
      <c r="E11" t="s">
        <v>49</v>
      </c>
    </row>
  </sheetData>
  <hyperlinks>
    <hyperlink ref="B1" r:id="rId1" xr:uid="{B0228E03-56BF-4952-82B2-678ECB3F4405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60E9-2886-4145-AA06-658C6481E01C}">
  <dimension ref="B1:B5"/>
  <sheetViews>
    <sheetView workbookViewId="0">
      <selection activeCell="N27" sqref="N27"/>
    </sheetView>
  </sheetViews>
  <sheetFormatPr defaultRowHeight="15"/>
  <sheetData>
    <row r="1" spans="2:2">
      <c r="B1" s="3" t="s">
        <v>24</v>
      </c>
    </row>
    <row r="2" spans="2:2">
      <c r="B2" t="s">
        <v>42</v>
      </c>
    </row>
    <row r="4" spans="2:2">
      <c r="B4" s="3" t="s">
        <v>36</v>
      </c>
    </row>
    <row r="5" spans="2:2">
      <c r="B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48DB-771F-47C3-B6D6-3A05CF9F4CE6}">
  <dimension ref="A1:B10"/>
  <sheetViews>
    <sheetView workbookViewId="0">
      <selection activeCell="J29" sqref="J29"/>
    </sheetView>
  </sheetViews>
  <sheetFormatPr defaultRowHeight="15"/>
  <cols>
    <col min="1" max="1" width="38.5703125" customWidth="1"/>
    <col min="2" max="2" width="13.5703125" customWidth="1"/>
  </cols>
  <sheetData>
    <row r="1" spans="1:2">
      <c r="A1" s="4" t="s">
        <v>19</v>
      </c>
      <c r="B1" s="8" t="s">
        <v>15</v>
      </c>
    </row>
    <row r="2" spans="1:2">
      <c r="A2" s="4" t="s">
        <v>39</v>
      </c>
      <c r="B2" s="8"/>
    </row>
    <row r="3" spans="1:2">
      <c r="A3" s="4" t="s">
        <v>41</v>
      </c>
      <c r="B3" s="5" t="s">
        <v>16</v>
      </c>
    </row>
    <row r="4" spans="1:2">
      <c r="A4" s="4" t="s">
        <v>40</v>
      </c>
      <c r="B4" s="5" t="s">
        <v>34</v>
      </c>
    </row>
    <row r="5" spans="1:2">
      <c r="A5" s="4" t="s">
        <v>38</v>
      </c>
      <c r="B5" s="5" t="s">
        <v>26</v>
      </c>
    </row>
    <row r="6" spans="1:2">
      <c r="A6" s="4" t="s">
        <v>22</v>
      </c>
      <c r="B6" s="5" t="s">
        <v>27</v>
      </c>
    </row>
    <row r="7" spans="1:2">
      <c r="A7" s="4" t="s">
        <v>20</v>
      </c>
      <c r="B7" s="5" t="s">
        <v>17</v>
      </c>
    </row>
    <row r="10" spans="1:2">
      <c r="A10" s="4" t="s">
        <v>48</v>
      </c>
    </row>
  </sheetData>
  <hyperlinks>
    <hyperlink ref="B1" r:id="rId1" xr:uid="{E2093BC2-6755-4651-B00B-DF94AC857FF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F436-53C6-434C-83A2-4272912276C1}">
  <dimension ref="A1:G22"/>
  <sheetViews>
    <sheetView topLeftCell="A10" workbookViewId="0">
      <selection activeCell="S1" sqref="S1"/>
    </sheetView>
  </sheetViews>
  <sheetFormatPr defaultRowHeight="15"/>
  <cols>
    <col min="1" max="1" width="22.42578125" customWidth="1"/>
    <col min="3" max="3" width="19.140625" customWidth="1"/>
  </cols>
  <sheetData>
    <row r="1" spans="1:7">
      <c r="A1" s="4" t="s">
        <v>19</v>
      </c>
      <c r="B1" s="5" t="s">
        <v>18</v>
      </c>
    </row>
    <row r="2" spans="1:7">
      <c r="A2" s="4" t="s">
        <v>21</v>
      </c>
      <c r="B2" s="5" t="s">
        <v>28</v>
      </c>
    </row>
    <row r="3" spans="1:7">
      <c r="A3" s="4" t="s">
        <v>22</v>
      </c>
      <c r="B3" s="5"/>
    </row>
    <row r="4" spans="1:7">
      <c r="A4" s="4" t="s">
        <v>20</v>
      </c>
      <c r="B4" s="5"/>
    </row>
    <row r="7" spans="1:7">
      <c r="E7" s="3" t="s">
        <v>23</v>
      </c>
      <c r="F7" s="3"/>
      <c r="G7" s="3" t="s">
        <v>24</v>
      </c>
    </row>
    <row r="8" spans="1:7" ht="54">
      <c r="A8" s="1" t="s">
        <v>5</v>
      </c>
      <c r="B8" s="1" t="s">
        <v>6</v>
      </c>
      <c r="C8" s="1" t="s">
        <v>1</v>
      </c>
      <c r="D8" s="1" t="s">
        <v>2</v>
      </c>
      <c r="E8" s="9">
        <v>20799</v>
      </c>
      <c r="G8" s="2" t="str">
        <f>_xlfn.TEXTJOIN("",TRUE,$B$1,E8,$B$2,$B$3,$B$4)</f>
        <v>https://mychart.ovatient.com/ovatient/openscheduling/standalone?id=20799&amp;vt=3747&amp;public=1</v>
      </c>
    </row>
    <row r="9" spans="1:7" ht="54">
      <c r="A9" s="6" t="s">
        <v>7</v>
      </c>
      <c r="B9" s="1" t="s">
        <v>8</v>
      </c>
      <c r="C9" s="1" t="s">
        <v>1</v>
      </c>
      <c r="D9" s="1" t="s">
        <v>2</v>
      </c>
      <c r="E9" s="9">
        <v>20651</v>
      </c>
      <c r="G9" s="2" t="str">
        <f t="shared" ref="G9:G17" si="0">_xlfn.TEXTJOIN("",TRUE,$B$1,E9,$B$2,$B$3,$B$4)</f>
        <v>https://mychart.ovatient.com/ovatient/openscheduling/standalone?id=20651&amp;vt=3747&amp;public=1</v>
      </c>
    </row>
    <row r="10" spans="1:7" ht="54">
      <c r="A10" s="6" t="s">
        <v>9</v>
      </c>
      <c r="B10" s="1" t="s">
        <v>10</v>
      </c>
      <c r="C10" s="1" t="s">
        <v>1</v>
      </c>
      <c r="D10" s="1" t="s">
        <v>2</v>
      </c>
      <c r="E10" s="9">
        <v>219557</v>
      </c>
      <c r="G10" s="2" t="str">
        <f t="shared" si="0"/>
        <v>https://mychart.ovatient.com/ovatient/openscheduling/standalone?id=219557&amp;vt=3747&amp;public=1</v>
      </c>
    </row>
    <row r="11" spans="1:7" ht="54">
      <c r="A11" s="1" t="s">
        <v>11</v>
      </c>
      <c r="B11" s="1" t="s">
        <v>12</v>
      </c>
      <c r="C11" s="1" t="s">
        <v>1</v>
      </c>
      <c r="D11" s="1" t="s">
        <v>2</v>
      </c>
      <c r="E11" s="9">
        <v>219524</v>
      </c>
      <c r="G11" s="2" t="str">
        <f t="shared" si="0"/>
        <v>https://mychart.ovatient.com/ovatient/openscheduling/standalone?id=219524&amp;vt=3747&amp;public=1</v>
      </c>
    </row>
    <row r="12" spans="1:7" ht="54">
      <c r="A12" s="1" t="s">
        <v>3</v>
      </c>
      <c r="B12" s="1" t="s">
        <v>4</v>
      </c>
      <c r="C12" s="1" t="s">
        <v>1</v>
      </c>
      <c r="D12" s="1" t="s">
        <v>2</v>
      </c>
      <c r="E12" s="9">
        <v>20991</v>
      </c>
      <c r="G12" s="2" t="str">
        <f t="shared" si="0"/>
        <v>https://mychart.ovatient.com/ovatient/openscheduling/standalone?id=20991&amp;vt=3747&amp;public=1</v>
      </c>
    </row>
    <row r="13" spans="1:7" ht="54">
      <c r="A13" s="6" t="s">
        <v>25</v>
      </c>
      <c r="B13" s="1" t="s">
        <v>0</v>
      </c>
      <c r="C13" s="1" t="s">
        <v>1</v>
      </c>
      <c r="D13" s="1" t="s">
        <v>2</v>
      </c>
      <c r="E13" s="9">
        <v>219068</v>
      </c>
      <c r="G13" s="2" t="str">
        <f t="shared" si="0"/>
        <v>https://mychart.ovatient.com/ovatient/openscheduling/standalone?id=219068&amp;vt=3747&amp;public=1</v>
      </c>
    </row>
    <row r="14" spans="1:7" ht="54">
      <c r="A14" s="1" t="s">
        <v>31</v>
      </c>
      <c r="B14" s="1" t="s">
        <v>32</v>
      </c>
      <c r="C14" s="1" t="s">
        <v>1</v>
      </c>
      <c r="D14" s="1" t="s">
        <v>2</v>
      </c>
      <c r="E14" s="9">
        <v>23771</v>
      </c>
      <c r="G14" s="2" t="str">
        <f t="shared" si="0"/>
        <v>https://mychart.ovatient.com/ovatient/openscheduling/standalone?id=23771&amp;vt=3747&amp;public=1</v>
      </c>
    </row>
    <row r="15" spans="1:7" ht="54">
      <c r="A15" s="1" t="s">
        <v>29</v>
      </c>
      <c r="B15" s="1" t="s">
        <v>30</v>
      </c>
      <c r="C15" s="1" t="s">
        <v>1</v>
      </c>
      <c r="D15" s="1" t="s">
        <v>2</v>
      </c>
      <c r="E15" s="9">
        <v>24112</v>
      </c>
      <c r="G15" s="2" t="str">
        <f t="shared" si="0"/>
        <v>https://mychart.ovatient.com/ovatient/openscheduling/standalone?id=24112&amp;vt=3747&amp;public=1</v>
      </c>
    </row>
    <row r="16" spans="1:7" ht="54">
      <c r="A16" s="1" t="s">
        <v>33</v>
      </c>
      <c r="B16" s="1" t="s">
        <v>14</v>
      </c>
      <c r="C16" s="1" t="s">
        <v>1</v>
      </c>
      <c r="D16" s="1" t="s">
        <v>2</v>
      </c>
      <c r="E16" s="9">
        <v>24110</v>
      </c>
      <c r="G16" s="2" t="str">
        <f t="shared" si="0"/>
        <v>https://mychart.ovatient.com/ovatient/openscheduling/standalone?id=24110&amp;vt=3747&amp;public=1</v>
      </c>
    </row>
    <row r="17" spans="1:7" ht="54">
      <c r="A17" s="1" t="s">
        <v>13</v>
      </c>
      <c r="B17" s="1" t="s">
        <v>37</v>
      </c>
      <c r="C17" s="1" t="s">
        <v>1</v>
      </c>
      <c r="D17" s="1" t="s">
        <v>2</v>
      </c>
      <c r="E17" s="9">
        <v>24111</v>
      </c>
      <c r="G17" s="2" t="str">
        <f t="shared" si="0"/>
        <v>https://mychart.ovatient.com/ovatient/openscheduling/standalone?id=24111&amp;vt=3747&amp;public=1</v>
      </c>
    </row>
    <row r="22" spans="1:7">
      <c r="A22" t="s">
        <v>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CDE9-F14A-4186-A298-3729A9D23C0F}">
  <dimension ref="A1:G11"/>
  <sheetViews>
    <sheetView workbookViewId="0">
      <selection activeCell="H18" sqref="H18"/>
    </sheetView>
  </sheetViews>
  <sheetFormatPr defaultRowHeight="15"/>
  <cols>
    <col min="1" max="1" width="22.42578125" customWidth="1"/>
    <col min="3" max="3" width="19.140625" customWidth="1"/>
  </cols>
  <sheetData>
    <row r="1" spans="1:7">
      <c r="A1" s="4" t="s">
        <v>19</v>
      </c>
      <c r="B1" s="8" t="s">
        <v>15</v>
      </c>
    </row>
    <row r="2" spans="1:7">
      <c r="A2" s="4" t="s">
        <v>21</v>
      </c>
      <c r="B2" s="5" t="s">
        <v>35</v>
      </c>
    </row>
    <row r="3" spans="1:7">
      <c r="A3" s="4" t="s">
        <v>22</v>
      </c>
      <c r="B3" s="5"/>
    </row>
    <row r="4" spans="1:7">
      <c r="A4" s="4" t="s">
        <v>20</v>
      </c>
      <c r="B4" s="5"/>
    </row>
    <row r="7" spans="1:7">
      <c r="E7" s="3"/>
      <c r="F7" s="3"/>
      <c r="G7" s="3" t="s">
        <v>24</v>
      </c>
    </row>
    <row r="8" spans="1:7">
      <c r="G8" s="2" t="str">
        <f>_xlfn.TEXTJOIN("",TRUE,$B$1,$B$2,$B$3,$B$4)</f>
        <v>https://mychart.ovatient.com/ovatient/openscheduling/standalone?vt=3747&amp;dept=3653</v>
      </c>
    </row>
    <row r="10" spans="1:7">
      <c r="G10" s="3" t="s">
        <v>36</v>
      </c>
    </row>
    <row r="11" spans="1:7">
      <c r="G11" t="s">
        <v>44</v>
      </c>
    </row>
  </sheetData>
  <hyperlinks>
    <hyperlink ref="B1" r:id="rId1" xr:uid="{A7F46758-9C9B-42BE-AFDA-100279A60217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77FA-4E82-42F9-84D0-578766939A3A}">
  <dimension ref="A1:E7"/>
  <sheetViews>
    <sheetView zoomScaleNormal="100" workbookViewId="0">
      <selection activeCell="K22" sqref="K22"/>
    </sheetView>
  </sheetViews>
  <sheetFormatPr defaultRowHeight="15"/>
  <sheetData>
    <row r="1" spans="1:5">
      <c r="A1" s="4" t="s">
        <v>19</v>
      </c>
      <c r="B1" s="8" t="s">
        <v>15</v>
      </c>
    </row>
    <row r="2" spans="1:5">
      <c r="A2" s="4" t="s">
        <v>21</v>
      </c>
      <c r="B2" s="5" t="s">
        <v>16</v>
      </c>
    </row>
    <row r="3" spans="1:5">
      <c r="A3" s="4" t="s">
        <v>22</v>
      </c>
      <c r="B3" s="5"/>
    </row>
    <row r="4" spans="1:5">
      <c r="A4" s="4" t="s">
        <v>20</v>
      </c>
      <c r="B4" s="5"/>
    </row>
    <row r="6" spans="1:5">
      <c r="E6" s="3" t="s">
        <v>24</v>
      </c>
    </row>
    <row r="7" spans="1:5">
      <c r="E7" s="2" t="str">
        <f>_xlfn.TEXTJOIN("",TRUE,$B$1,$B$2,$B$3,$B$4)</f>
        <v>https://mychart.ovatient.com/ovatient/openscheduling/standalone?vt=3862&amp;dept=3652</v>
      </c>
    </row>
  </sheetData>
  <hyperlinks>
    <hyperlink ref="B1" r:id="rId1" xr:uid="{C2D25E7F-E844-42A8-8691-0FCFA299552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3B15-D5F4-4759-8D54-DF14135D9754}">
  <dimension ref="B1:B5"/>
  <sheetViews>
    <sheetView workbookViewId="0">
      <selection activeCell="B6" sqref="B6"/>
    </sheetView>
  </sheetViews>
  <sheetFormatPr defaultRowHeight="15"/>
  <sheetData>
    <row r="1" spans="2:2">
      <c r="B1" s="3" t="s">
        <v>24</v>
      </c>
    </row>
    <row r="2" spans="2:2">
      <c r="B2" t="s">
        <v>43</v>
      </c>
    </row>
    <row r="4" spans="2:2">
      <c r="B4" s="3" t="s">
        <v>36</v>
      </c>
    </row>
    <row r="5" spans="2:2">
      <c r="B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D1D586AE224F4891BA5ACDA5931D53" ma:contentTypeVersion="10" ma:contentTypeDescription="Create a new document." ma:contentTypeScope="" ma:versionID="532b8498faf67bd885e09df3448fdc7e">
  <xsd:schema xmlns:xsd="http://www.w3.org/2001/XMLSchema" xmlns:xs="http://www.w3.org/2001/XMLSchema" xmlns:p="http://schemas.microsoft.com/office/2006/metadata/properties" xmlns:ns2="257e97a2-a89b-4090-b87a-6b06f89a316a" xmlns:ns3="d2a16676-55eb-4e88-9a2b-27e073c808c9" targetNamespace="http://schemas.microsoft.com/office/2006/metadata/properties" ma:root="true" ma:fieldsID="fdf49d2ee751f626144e595c4ab46e97" ns2:_="" ns3:_="">
    <xsd:import namespace="257e97a2-a89b-4090-b87a-6b06f89a316a"/>
    <xsd:import namespace="d2a16676-55eb-4e88-9a2b-27e073c80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e97a2-a89b-4090-b87a-6b06f89a3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cc0d3e-81d9-4510-bd2c-768006e4fb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16676-55eb-4e88-9a2b-27e073c808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a11b22-188f-4bec-94b2-f81212f1e71e}" ma:internalName="TaxCatchAll" ma:showField="CatchAllData" ma:web="d2a16676-55eb-4e88-9a2b-27e073c80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7e97a2-a89b-4090-b87a-6b06f89a316a">
      <Terms xmlns="http://schemas.microsoft.com/office/infopath/2007/PartnerControls"/>
    </lcf76f155ced4ddcb4097134ff3c332f>
    <TaxCatchAll xmlns="d2a16676-55eb-4e88-9a2b-27e073c808c9" xsi:nil="true"/>
  </documentManagement>
</p:properties>
</file>

<file path=customXml/itemProps1.xml><?xml version="1.0" encoding="utf-8"?>
<ds:datastoreItem xmlns:ds="http://schemas.openxmlformats.org/officeDocument/2006/customXml" ds:itemID="{3C0FA6CB-4D2C-4E48-A76A-2831AE34A072}"/>
</file>

<file path=customXml/itemProps2.xml><?xml version="1.0" encoding="utf-8"?>
<ds:datastoreItem xmlns:ds="http://schemas.openxmlformats.org/officeDocument/2006/customXml" ds:itemID="{2FECED1F-6939-40A9-9D95-75C8EBBA5A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9E59F6-1241-40B6-8DDD-A7691934A8E9}">
  <ds:schemaRefs>
    <ds:schemaRef ds:uri="http://schemas.microsoft.com/office/2006/metadata/properties"/>
    <ds:schemaRef ds:uri="84fa2949-4c21-49be-8f7a-da46ae2e879c"/>
    <ds:schemaRef ds:uri="http://purl.org/dc/dcmitype/"/>
    <ds:schemaRef ds:uri="http://purl.org/dc/elements/1.1/"/>
    <ds:schemaRef ds:uri="6caeb773-574d-40e9-a528-6930a9235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58c6d08-6fa0-4505-85f0-a0647600c7a0}" enabled="0" method="" siteId="{358c6d08-6fa0-4505-85f0-a0647600c7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Primary Care Ind (SC)</vt:lpstr>
      <vt:lpstr>Primary Care (SC)</vt:lpstr>
      <vt:lpstr>Same Day Care (SC)</vt:lpstr>
      <vt:lpstr>Urgent Care SC</vt:lpstr>
      <vt:lpstr>SC Config Ref</vt:lpstr>
      <vt:lpstr>Primary Care Indiv (OH)</vt:lpstr>
      <vt:lpstr>Primary Care (OH)</vt:lpstr>
      <vt:lpstr>Same Day Care (OH)</vt:lpstr>
      <vt:lpstr>Urgent Care (OH)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Marcia McWhorter</dc:creator>
  <cp:keywords/>
  <dc:description/>
  <cp:lastModifiedBy>Yasir Tarabichi</cp:lastModifiedBy>
  <cp:revision/>
  <dcterms:created xsi:type="dcterms:W3CDTF">2025-10-21T00:59:07Z</dcterms:created>
  <dcterms:modified xsi:type="dcterms:W3CDTF">2026-04-08T18:21:58Z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0x01010046D1D586AE224F4891BA5ACDA5931D53</vt:lpwstr>
  </property>
</Properties>
</file>